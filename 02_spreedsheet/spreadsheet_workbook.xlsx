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rut\masai\grade assi\ans\part 1\"/>
    </mc:Choice>
  </mc:AlternateContent>
  <xr:revisionPtr revIDLastSave="0" documentId="8_{CA580B2E-8246-4538-AD3E-23DBD8B9B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Transactions" sheetId="1" r:id="rId1"/>
    <sheet name="Merchant_Risk_Summary" sheetId="2" r:id="rId2"/>
    <sheet name="Formula_S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7" i="3"/>
  <c r="B6" i="3"/>
  <c r="B5" i="3"/>
  <c r="B3" i="3"/>
  <c r="B2" i="3"/>
</calcChain>
</file>

<file path=xl/sharedStrings.xml><?xml version="1.0" encoding="utf-8"?>
<sst xmlns="http://schemas.openxmlformats.org/spreadsheetml/2006/main" count="345" uniqueCount="101">
  <si>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</si>
  <si>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</si>
  <si>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</si>
  <si>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</si>
  <si>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</si>
  <si>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</si>
  <si>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</si>
  <si>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</si>
  <si>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</si>
  <si>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</si>
  <si>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merchant_id</t>
  </si>
  <si>
    <t>default_region</t>
  </si>
  <si>
    <t>rate_date</t>
  </si>
  <si>
    <t>usd_rate</t>
  </si>
  <si>
    <t>amount_usd</t>
  </si>
  <si>
    <t>high_value_flag</t>
  </si>
  <si>
    <t>high_risk_flag</t>
  </si>
  <si>
    <t>T001</t>
  </si>
  <si>
    <t>2026-03-01</t>
  </si>
  <si>
    <t>Alpha Mart</t>
  </si>
  <si>
    <t>INR</t>
  </si>
  <si>
    <t>CAPTURED</t>
  </si>
  <si>
    <t>APAC</t>
  </si>
  <si>
    <t>U001</t>
  </si>
  <si>
    <t>UPI</t>
  </si>
  <si>
    <t>M001</t>
  </si>
  <si>
    <t>T002</t>
  </si>
  <si>
    <t>U002</t>
  </si>
  <si>
    <t>Card</t>
  </si>
  <si>
    <t>T003</t>
  </si>
  <si>
    <t>Beta Stores</t>
  </si>
  <si>
    <t xml:space="preserve"> APAC </t>
  </si>
  <si>
    <t>U003</t>
  </si>
  <si>
    <t>NetBanking</t>
  </si>
  <si>
    <t>M002</t>
  </si>
  <si>
    <t>T004</t>
  </si>
  <si>
    <t>2026-03-02</t>
  </si>
  <si>
    <t>Beta  Stores</t>
  </si>
  <si>
    <t>FAILED</t>
  </si>
  <si>
    <t>U004</t>
  </si>
  <si>
    <t>T005</t>
  </si>
  <si>
    <t>T006</t>
  </si>
  <si>
    <t>U005</t>
  </si>
  <si>
    <t>Wallet</t>
  </si>
  <si>
    <t>T007</t>
  </si>
  <si>
    <t>Alpha  Mart</t>
  </si>
  <si>
    <t>CHARGEBACK</t>
  </si>
  <si>
    <t>U006</t>
  </si>
  <si>
    <t>T008</t>
  </si>
  <si>
    <t>2026-03-03</t>
  </si>
  <si>
    <t>U007</t>
  </si>
  <si>
    <t>T009</t>
  </si>
  <si>
    <t>T010</t>
  </si>
  <si>
    <t>T011</t>
  </si>
  <si>
    <t>U008</t>
  </si>
  <si>
    <t>T012</t>
  </si>
  <si>
    <t>2026-03-04</t>
  </si>
  <si>
    <t>U009</t>
  </si>
  <si>
    <t>T013</t>
  </si>
  <si>
    <t>U010</t>
  </si>
  <si>
    <t>T014</t>
  </si>
  <si>
    <t>T015</t>
  </si>
  <si>
    <t>T016</t>
  </si>
  <si>
    <t>2026-03-05</t>
  </si>
  <si>
    <t>T017</t>
  </si>
  <si>
    <t>T018</t>
  </si>
  <si>
    <t>T019</t>
  </si>
  <si>
    <t>T020</t>
  </si>
  <si>
    <t>T021</t>
  </si>
  <si>
    <t>2026-03-06</t>
  </si>
  <si>
    <t>T022</t>
  </si>
  <si>
    <t>T023</t>
  </si>
  <si>
    <t>City Pharma</t>
  </si>
  <si>
    <t>EUR</t>
  </si>
  <si>
    <t xml:space="preserve"> EU </t>
  </si>
  <si>
    <t>M003</t>
  </si>
  <si>
    <t>EU</t>
  </si>
  <si>
    <t>T024</t>
  </si>
  <si>
    <t>Eco Home</t>
  </si>
  <si>
    <t>M005</t>
  </si>
  <si>
    <t>T025</t>
  </si>
  <si>
    <t>T026</t>
  </si>
  <si>
    <t>T027</t>
  </si>
  <si>
    <t>Delta Travels</t>
  </si>
  <si>
    <t>USD</t>
  </si>
  <si>
    <t>US</t>
  </si>
  <si>
    <t>M004</t>
  </si>
  <si>
    <t>T028</t>
  </si>
  <si>
    <t>T029</t>
  </si>
  <si>
    <t>T030</t>
  </si>
  <si>
    <t>total_txn</t>
  </si>
  <si>
    <t>high_risk</t>
  </si>
  <si>
    <t>total_amount</t>
  </si>
  <si>
    <t>Purpose</t>
  </si>
  <si>
    <t>Formula</t>
  </si>
  <si>
    <t>Merchant Name Cleaning</t>
  </si>
  <si>
    <t>Status Standardization</t>
  </si>
  <si>
    <t>Risk Score Extraction</t>
  </si>
  <si>
    <t>Currency Conversion</t>
  </si>
  <si>
    <t>High Value Flag</t>
  </si>
  <si>
    <t>High Risk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</si>
</sst>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H1" sqref="H1"/>
    </sheetView>
  </sheetViews>
  <sheetFormatPr defaultRowHeight="14.4" x14ac:dyDescent="0.3"/>
  <cols>
    <col min="1" max="1" width="12.21875" customWidth="1"/>
    <col min="2" max="2" width="14.77734375" customWidth="1"/>
    <col min="3" max="3" width="15.33203125" customWidth="1"/>
    <col min="4" max="4" width="11.6640625" customWidth="1"/>
    <col min="6" max="6" width="12.77734375" customWidth="1"/>
    <col min="8" max="8" width="13.77734375" customWidth="1"/>
    <col min="10" max="10" width="16.5546875" customWidth="1"/>
    <col min="11" max="11" width="12" customWidth="1"/>
    <col min="12" max="12" width="13.109375" customWidth="1"/>
    <col min="15" max="15" width="11.77734375" customWidth="1"/>
    <col min="16" max="16" width="10" customWidth="1"/>
    <col min="17" max="17" width="1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420000</v>
      </c>
      <c r="E2" t="s">
        <v>20</v>
      </c>
      <c r="F2" t="s">
        <v>21</v>
      </c>
      <c r="G2">
        <v>62</v>
      </c>
      <c r="H2" t="s">
        <v>22</v>
      </c>
      <c r="I2" t="s">
        <v>23</v>
      </c>
      <c r="J2" t="s">
        <v>24</v>
      </c>
      <c r="K2" t="s">
        <v>25</v>
      </c>
      <c r="L2" t="s">
        <v>22</v>
      </c>
      <c r="M2" t="s">
        <v>18</v>
      </c>
      <c r="N2">
        <v>1.1900000000000001E-2</v>
      </c>
      <c r="O2">
        <v>4998</v>
      </c>
      <c r="P2">
        <v>0</v>
      </c>
      <c r="Q2">
        <v>0</v>
      </c>
    </row>
    <row r="3" spans="1:17" x14ac:dyDescent="0.3">
      <c r="A3" t="s">
        <v>26</v>
      </c>
      <c r="B3" t="s">
        <v>18</v>
      </c>
      <c r="C3" t="s">
        <v>19</v>
      </c>
      <c r="D3">
        <v>210000</v>
      </c>
      <c r="E3" t="s">
        <v>20</v>
      </c>
      <c r="F3" t="s">
        <v>21</v>
      </c>
      <c r="G3">
        <v>55</v>
      </c>
      <c r="H3" t="s">
        <v>22</v>
      </c>
      <c r="I3" t="s">
        <v>27</v>
      </c>
      <c r="J3" t="s">
        <v>28</v>
      </c>
      <c r="K3" t="s">
        <v>25</v>
      </c>
      <c r="L3" t="s">
        <v>22</v>
      </c>
      <c r="M3" t="s">
        <v>18</v>
      </c>
      <c r="N3">
        <v>1.1900000000000001E-2</v>
      </c>
      <c r="O3">
        <v>2499</v>
      </c>
      <c r="P3">
        <v>0</v>
      </c>
      <c r="Q3">
        <v>0</v>
      </c>
    </row>
    <row r="4" spans="1:17" x14ac:dyDescent="0.3">
      <c r="A4" t="s">
        <v>29</v>
      </c>
      <c r="B4" t="s">
        <v>18</v>
      </c>
      <c r="C4" t="s">
        <v>30</v>
      </c>
      <c r="D4">
        <v>510000</v>
      </c>
      <c r="E4" t="s">
        <v>20</v>
      </c>
      <c r="F4" t="s">
        <v>21</v>
      </c>
      <c r="G4">
        <v>71</v>
      </c>
      <c r="H4" t="s">
        <v>31</v>
      </c>
      <c r="I4" t="s">
        <v>32</v>
      </c>
      <c r="J4" t="s">
        <v>33</v>
      </c>
      <c r="K4" t="s">
        <v>34</v>
      </c>
      <c r="L4" t="s">
        <v>22</v>
      </c>
      <c r="M4" t="s">
        <v>18</v>
      </c>
      <c r="N4">
        <v>1.1900000000000001E-2</v>
      </c>
      <c r="O4">
        <v>6069</v>
      </c>
      <c r="P4">
        <v>0</v>
      </c>
      <c r="Q4">
        <v>1</v>
      </c>
    </row>
    <row r="5" spans="1:17" x14ac:dyDescent="0.3">
      <c r="A5" t="s">
        <v>35</v>
      </c>
      <c r="B5" t="s">
        <v>36</v>
      </c>
      <c r="C5" t="s">
        <v>37</v>
      </c>
      <c r="D5">
        <v>160000</v>
      </c>
      <c r="E5" t="s">
        <v>20</v>
      </c>
      <c r="F5" t="s">
        <v>38</v>
      </c>
      <c r="G5">
        <v>68</v>
      </c>
      <c r="H5" t="s">
        <v>22</v>
      </c>
      <c r="I5" t="s">
        <v>39</v>
      </c>
      <c r="J5" t="s">
        <v>28</v>
      </c>
      <c r="M5" t="s">
        <v>36</v>
      </c>
      <c r="N5">
        <v>1.2E-2</v>
      </c>
      <c r="O5">
        <v>1920</v>
      </c>
      <c r="P5">
        <v>0</v>
      </c>
      <c r="Q5">
        <v>0</v>
      </c>
    </row>
    <row r="6" spans="1:17" x14ac:dyDescent="0.3">
      <c r="A6" t="s">
        <v>40</v>
      </c>
      <c r="B6" t="s">
        <v>36</v>
      </c>
      <c r="C6" t="s">
        <v>19</v>
      </c>
      <c r="D6">
        <v>390000</v>
      </c>
      <c r="E6" t="s">
        <v>20</v>
      </c>
      <c r="F6" t="s">
        <v>21</v>
      </c>
      <c r="G6">
        <v>58</v>
      </c>
      <c r="H6" t="s">
        <v>22</v>
      </c>
      <c r="I6" t="s">
        <v>23</v>
      </c>
      <c r="J6" t="s">
        <v>24</v>
      </c>
      <c r="K6" t="s">
        <v>25</v>
      </c>
      <c r="L6" t="s">
        <v>22</v>
      </c>
      <c r="M6" t="s">
        <v>36</v>
      </c>
      <c r="N6">
        <v>1.2E-2</v>
      </c>
      <c r="O6">
        <v>4680</v>
      </c>
      <c r="P6">
        <v>0</v>
      </c>
      <c r="Q6">
        <v>0</v>
      </c>
    </row>
    <row r="7" spans="1:17" x14ac:dyDescent="0.3">
      <c r="A7" t="s">
        <v>41</v>
      </c>
      <c r="B7" t="s">
        <v>36</v>
      </c>
      <c r="C7" t="s">
        <v>37</v>
      </c>
      <c r="D7">
        <v>275000</v>
      </c>
      <c r="E7" t="s">
        <v>20</v>
      </c>
      <c r="F7" t="s">
        <v>21</v>
      </c>
      <c r="G7">
        <v>64</v>
      </c>
      <c r="I7" t="s">
        <v>42</v>
      </c>
      <c r="J7" t="s">
        <v>43</v>
      </c>
      <c r="M7" t="s">
        <v>36</v>
      </c>
      <c r="N7">
        <v>1.2E-2</v>
      </c>
      <c r="O7">
        <v>3300</v>
      </c>
      <c r="P7">
        <v>0</v>
      </c>
      <c r="Q7">
        <v>0</v>
      </c>
    </row>
    <row r="8" spans="1:17" x14ac:dyDescent="0.3">
      <c r="A8" t="s">
        <v>44</v>
      </c>
      <c r="B8" t="s">
        <v>36</v>
      </c>
      <c r="C8" t="s">
        <v>45</v>
      </c>
      <c r="D8">
        <v>450000</v>
      </c>
      <c r="E8" t="s">
        <v>20</v>
      </c>
      <c r="F8" t="s">
        <v>46</v>
      </c>
      <c r="G8">
        <v>83</v>
      </c>
      <c r="H8" t="s">
        <v>31</v>
      </c>
      <c r="I8" t="s">
        <v>47</v>
      </c>
      <c r="J8" t="s">
        <v>28</v>
      </c>
      <c r="M8" t="s">
        <v>36</v>
      </c>
      <c r="N8">
        <v>1.2E-2</v>
      </c>
      <c r="O8">
        <v>5400</v>
      </c>
      <c r="P8">
        <v>0</v>
      </c>
      <c r="Q8">
        <v>1</v>
      </c>
    </row>
    <row r="9" spans="1:17" x14ac:dyDescent="0.3">
      <c r="A9" t="s">
        <v>48</v>
      </c>
      <c r="B9" t="s">
        <v>49</v>
      </c>
      <c r="C9" t="s">
        <v>30</v>
      </c>
      <c r="D9">
        <v>340000</v>
      </c>
      <c r="E9" t="s">
        <v>20</v>
      </c>
      <c r="F9" t="s">
        <v>21</v>
      </c>
      <c r="G9">
        <v>59</v>
      </c>
      <c r="H9" t="s">
        <v>22</v>
      </c>
      <c r="I9" t="s">
        <v>50</v>
      </c>
      <c r="J9" t="s">
        <v>24</v>
      </c>
      <c r="K9" t="s">
        <v>34</v>
      </c>
      <c r="L9" t="s">
        <v>22</v>
      </c>
      <c r="M9" t="s">
        <v>49</v>
      </c>
      <c r="N9">
        <v>1.21E-2</v>
      </c>
      <c r="O9">
        <v>4114</v>
      </c>
      <c r="P9">
        <v>0</v>
      </c>
      <c r="Q9">
        <v>0</v>
      </c>
    </row>
    <row r="10" spans="1:17" x14ac:dyDescent="0.3">
      <c r="A10" t="s">
        <v>51</v>
      </c>
      <c r="B10" t="s">
        <v>49</v>
      </c>
      <c r="C10" t="s">
        <v>19</v>
      </c>
      <c r="D10">
        <v>125000</v>
      </c>
      <c r="E10" t="s">
        <v>20</v>
      </c>
      <c r="F10" t="s">
        <v>21</v>
      </c>
      <c r="G10">
        <v>46</v>
      </c>
      <c r="H10" t="s">
        <v>22</v>
      </c>
      <c r="I10" t="s">
        <v>27</v>
      </c>
      <c r="J10" t="s">
        <v>43</v>
      </c>
      <c r="K10" t="s">
        <v>25</v>
      </c>
      <c r="L10" t="s">
        <v>22</v>
      </c>
      <c r="M10" t="s">
        <v>49</v>
      </c>
      <c r="N10">
        <v>1.21E-2</v>
      </c>
      <c r="O10">
        <v>1512.5</v>
      </c>
      <c r="P10">
        <v>0</v>
      </c>
      <c r="Q10">
        <v>0</v>
      </c>
    </row>
    <row r="11" spans="1:17" x14ac:dyDescent="0.3">
      <c r="A11" t="s">
        <v>52</v>
      </c>
      <c r="B11" t="s">
        <v>49</v>
      </c>
      <c r="C11" t="s">
        <v>30</v>
      </c>
      <c r="D11">
        <v>610000</v>
      </c>
      <c r="E11" t="s">
        <v>20</v>
      </c>
      <c r="F11" t="s">
        <v>21</v>
      </c>
      <c r="G11">
        <v>77</v>
      </c>
      <c r="H11" t="s">
        <v>22</v>
      </c>
      <c r="I11" t="s">
        <v>32</v>
      </c>
      <c r="J11" t="s">
        <v>28</v>
      </c>
      <c r="K11" t="s">
        <v>34</v>
      </c>
      <c r="L11" t="s">
        <v>22</v>
      </c>
      <c r="M11" t="s">
        <v>49</v>
      </c>
      <c r="N11">
        <v>1.21E-2</v>
      </c>
      <c r="O11">
        <v>7381</v>
      </c>
      <c r="P11">
        <v>1</v>
      </c>
      <c r="Q11">
        <v>1</v>
      </c>
    </row>
    <row r="12" spans="1:17" x14ac:dyDescent="0.3">
      <c r="A12" t="s">
        <v>53</v>
      </c>
      <c r="B12" t="s">
        <v>49</v>
      </c>
      <c r="C12" t="s">
        <v>45</v>
      </c>
      <c r="D12">
        <v>195000</v>
      </c>
      <c r="E12" t="s">
        <v>20</v>
      </c>
      <c r="F12" t="s">
        <v>38</v>
      </c>
      <c r="I12" t="s">
        <v>54</v>
      </c>
      <c r="J12" t="s">
        <v>24</v>
      </c>
      <c r="M12" t="s">
        <v>49</v>
      </c>
      <c r="N12">
        <v>1.21E-2</v>
      </c>
      <c r="O12">
        <v>2359.5</v>
      </c>
      <c r="P12">
        <v>0</v>
      </c>
      <c r="Q12">
        <v>0</v>
      </c>
    </row>
    <row r="13" spans="1:17" x14ac:dyDescent="0.3">
      <c r="A13" t="s">
        <v>55</v>
      </c>
      <c r="B13" t="s">
        <v>56</v>
      </c>
      <c r="C13" t="s">
        <v>37</v>
      </c>
      <c r="D13">
        <v>250000</v>
      </c>
      <c r="E13" t="s">
        <v>20</v>
      </c>
      <c r="F13" t="s">
        <v>21</v>
      </c>
      <c r="G13">
        <v>61</v>
      </c>
      <c r="H13" t="s">
        <v>31</v>
      </c>
      <c r="I13" t="s">
        <v>57</v>
      </c>
      <c r="J13" t="s">
        <v>28</v>
      </c>
      <c r="M13" t="s">
        <v>56</v>
      </c>
      <c r="N13">
        <v>1.2E-2</v>
      </c>
      <c r="O13">
        <v>3000</v>
      </c>
      <c r="P13">
        <v>0</v>
      </c>
      <c r="Q13">
        <v>0</v>
      </c>
    </row>
    <row r="14" spans="1:17" x14ac:dyDescent="0.3">
      <c r="A14" t="s">
        <v>58</v>
      </c>
      <c r="B14" t="s">
        <v>56</v>
      </c>
      <c r="C14" t="s">
        <v>19</v>
      </c>
      <c r="D14">
        <v>310000</v>
      </c>
      <c r="E14" t="s">
        <v>20</v>
      </c>
      <c r="F14" t="s">
        <v>21</v>
      </c>
      <c r="G14">
        <v>54</v>
      </c>
      <c r="H14" t="s">
        <v>22</v>
      </c>
      <c r="I14" t="s">
        <v>59</v>
      </c>
      <c r="J14" t="s">
        <v>24</v>
      </c>
      <c r="K14" t="s">
        <v>25</v>
      </c>
      <c r="L14" t="s">
        <v>22</v>
      </c>
      <c r="M14" t="s">
        <v>56</v>
      </c>
      <c r="N14">
        <v>1.2E-2</v>
      </c>
      <c r="O14">
        <v>3720</v>
      </c>
      <c r="P14">
        <v>0</v>
      </c>
      <c r="Q14">
        <v>0</v>
      </c>
    </row>
    <row r="15" spans="1:17" x14ac:dyDescent="0.3">
      <c r="A15" t="s">
        <v>60</v>
      </c>
      <c r="B15" t="s">
        <v>56</v>
      </c>
      <c r="C15" t="s">
        <v>37</v>
      </c>
      <c r="D15">
        <v>470000</v>
      </c>
      <c r="E15" t="s">
        <v>20</v>
      </c>
      <c r="F15" t="s">
        <v>21</v>
      </c>
      <c r="G15">
        <v>73</v>
      </c>
      <c r="H15" t="s">
        <v>22</v>
      </c>
      <c r="I15" t="s">
        <v>23</v>
      </c>
      <c r="J15" t="s">
        <v>33</v>
      </c>
      <c r="M15" t="s">
        <v>56</v>
      </c>
      <c r="N15">
        <v>1.2E-2</v>
      </c>
      <c r="O15">
        <v>5640</v>
      </c>
      <c r="P15">
        <v>1</v>
      </c>
      <c r="Q15">
        <v>1</v>
      </c>
    </row>
    <row r="16" spans="1:17" x14ac:dyDescent="0.3">
      <c r="A16" t="s">
        <v>61</v>
      </c>
      <c r="B16" t="s">
        <v>56</v>
      </c>
      <c r="C16" t="s">
        <v>19</v>
      </c>
      <c r="D16">
        <v>130000</v>
      </c>
      <c r="E16" t="s">
        <v>20</v>
      </c>
      <c r="F16" t="s">
        <v>21</v>
      </c>
      <c r="G16">
        <v>52</v>
      </c>
      <c r="H16" t="s">
        <v>22</v>
      </c>
      <c r="I16" t="s">
        <v>27</v>
      </c>
      <c r="J16" t="s">
        <v>28</v>
      </c>
      <c r="K16" t="s">
        <v>25</v>
      </c>
      <c r="L16" t="s">
        <v>22</v>
      </c>
      <c r="M16" t="s">
        <v>56</v>
      </c>
      <c r="N16">
        <v>1.2E-2</v>
      </c>
      <c r="O16">
        <v>1560</v>
      </c>
      <c r="P16">
        <v>0</v>
      </c>
      <c r="Q16">
        <v>0</v>
      </c>
    </row>
    <row r="17" spans="1:17" x14ac:dyDescent="0.3">
      <c r="A17" t="s">
        <v>62</v>
      </c>
      <c r="B17" t="s">
        <v>63</v>
      </c>
      <c r="C17" t="s">
        <v>37</v>
      </c>
      <c r="D17">
        <v>220000</v>
      </c>
      <c r="E17" t="s">
        <v>20</v>
      </c>
      <c r="F17" t="s">
        <v>38</v>
      </c>
      <c r="G17">
        <v>69</v>
      </c>
      <c r="I17" t="s">
        <v>54</v>
      </c>
      <c r="J17" t="s">
        <v>28</v>
      </c>
      <c r="M17" t="s">
        <v>63</v>
      </c>
      <c r="N17">
        <v>1.18E-2</v>
      </c>
      <c r="O17">
        <v>2596</v>
      </c>
      <c r="P17">
        <v>0</v>
      </c>
      <c r="Q17">
        <v>0</v>
      </c>
    </row>
    <row r="18" spans="1:17" x14ac:dyDescent="0.3">
      <c r="A18" t="s">
        <v>64</v>
      </c>
      <c r="B18" t="s">
        <v>63</v>
      </c>
      <c r="C18" t="s">
        <v>37</v>
      </c>
      <c r="D18">
        <v>180000</v>
      </c>
      <c r="E18" t="s">
        <v>20</v>
      </c>
      <c r="F18" t="s">
        <v>38</v>
      </c>
      <c r="G18">
        <v>72</v>
      </c>
      <c r="H18" t="s">
        <v>22</v>
      </c>
      <c r="I18" t="s">
        <v>54</v>
      </c>
      <c r="J18" t="s">
        <v>28</v>
      </c>
      <c r="M18" t="s">
        <v>63</v>
      </c>
      <c r="N18">
        <v>1.18E-2</v>
      </c>
      <c r="O18">
        <v>2124</v>
      </c>
      <c r="P18">
        <v>0</v>
      </c>
      <c r="Q18">
        <v>1</v>
      </c>
    </row>
    <row r="19" spans="1:17" x14ac:dyDescent="0.3">
      <c r="A19" t="s">
        <v>65</v>
      </c>
      <c r="B19" t="s">
        <v>63</v>
      </c>
      <c r="C19" t="s">
        <v>30</v>
      </c>
      <c r="D19">
        <v>145000</v>
      </c>
      <c r="E19" t="s">
        <v>20</v>
      </c>
      <c r="F19" t="s">
        <v>46</v>
      </c>
      <c r="G19">
        <v>86</v>
      </c>
      <c r="H19" t="s">
        <v>31</v>
      </c>
      <c r="I19" t="s">
        <v>54</v>
      </c>
      <c r="J19" t="s">
        <v>24</v>
      </c>
      <c r="K19" t="s">
        <v>34</v>
      </c>
      <c r="L19" t="s">
        <v>22</v>
      </c>
      <c r="M19" t="s">
        <v>63</v>
      </c>
      <c r="N19">
        <v>1.18E-2</v>
      </c>
      <c r="O19">
        <v>1711</v>
      </c>
      <c r="P19">
        <v>0</v>
      </c>
      <c r="Q19">
        <v>1</v>
      </c>
    </row>
    <row r="20" spans="1:17" x14ac:dyDescent="0.3">
      <c r="A20" t="s">
        <v>66</v>
      </c>
      <c r="B20" t="s">
        <v>63</v>
      </c>
      <c r="C20" t="s">
        <v>45</v>
      </c>
      <c r="D20">
        <v>260000</v>
      </c>
      <c r="E20" t="s">
        <v>20</v>
      </c>
      <c r="F20" t="s">
        <v>38</v>
      </c>
      <c r="G20">
        <v>67</v>
      </c>
      <c r="H20" t="s">
        <v>22</v>
      </c>
      <c r="I20" t="s">
        <v>54</v>
      </c>
      <c r="J20" t="s">
        <v>43</v>
      </c>
      <c r="M20" t="s">
        <v>63</v>
      </c>
      <c r="N20">
        <v>1.18E-2</v>
      </c>
      <c r="O20">
        <v>3068</v>
      </c>
      <c r="P20">
        <v>0</v>
      </c>
      <c r="Q20">
        <v>0</v>
      </c>
    </row>
    <row r="21" spans="1:17" x14ac:dyDescent="0.3">
      <c r="A21" t="s">
        <v>67</v>
      </c>
      <c r="B21" t="s">
        <v>63</v>
      </c>
      <c r="C21" t="s">
        <v>19</v>
      </c>
      <c r="D21">
        <v>520000</v>
      </c>
      <c r="E21" t="s">
        <v>20</v>
      </c>
      <c r="F21" t="s">
        <v>21</v>
      </c>
      <c r="G21">
        <v>75</v>
      </c>
      <c r="H21" t="s">
        <v>22</v>
      </c>
      <c r="I21" t="s">
        <v>42</v>
      </c>
      <c r="J21" t="s">
        <v>24</v>
      </c>
      <c r="K21" t="s">
        <v>25</v>
      </c>
      <c r="L21" t="s">
        <v>22</v>
      </c>
      <c r="M21" t="s">
        <v>63</v>
      </c>
      <c r="N21">
        <v>1.18E-2</v>
      </c>
      <c r="O21">
        <v>6136</v>
      </c>
      <c r="P21">
        <v>1</v>
      </c>
      <c r="Q21">
        <v>1</v>
      </c>
    </row>
    <row r="22" spans="1:17" x14ac:dyDescent="0.3">
      <c r="A22" t="s">
        <v>68</v>
      </c>
      <c r="B22" t="s">
        <v>69</v>
      </c>
      <c r="C22" t="s">
        <v>30</v>
      </c>
      <c r="D22">
        <v>330000</v>
      </c>
      <c r="E22" t="s">
        <v>20</v>
      </c>
      <c r="F22" t="s">
        <v>21</v>
      </c>
      <c r="G22">
        <v>63</v>
      </c>
      <c r="H22" t="s">
        <v>22</v>
      </c>
      <c r="I22" t="s">
        <v>47</v>
      </c>
      <c r="J22" t="s">
        <v>28</v>
      </c>
      <c r="K22" t="s">
        <v>34</v>
      </c>
      <c r="L22" t="s">
        <v>22</v>
      </c>
      <c r="M22" t="s">
        <v>69</v>
      </c>
      <c r="N22">
        <v>1.1900000000000001E-2</v>
      </c>
      <c r="O22">
        <v>3927.0000000000009</v>
      </c>
      <c r="P22">
        <v>0</v>
      </c>
      <c r="Q22">
        <v>0</v>
      </c>
    </row>
    <row r="23" spans="1:17" x14ac:dyDescent="0.3">
      <c r="A23" t="s">
        <v>70</v>
      </c>
      <c r="B23" t="s">
        <v>69</v>
      </c>
      <c r="C23" t="s">
        <v>19</v>
      </c>
      <c r="D23">
        <v>410000</v>
      </c>
      <c r="E23" t="s">
        <v>20</v>
      </c>
      <c r="F23" t="s">
        <v>21</v>
      </c>
      <c r="G23">
        <v>60</v>
      </c>
      <c r="H23" t="s">
        <v>22</v>
      </c>
      <c r="I23" t="s">
        <v>50</v>
      </c>
      <c r="J23" t="s">
        <v>24</v>
      </c>
      <c r="K23" t="s">
        <v>25</v>
      </c>
      <c r="L23" t="s">
        <v>22</v>
      </c>
      <c r="M23" t="s">
        <v>69</v>
      </c>
      <c r="N23">
        <v>1.1900000000000001E-2</v>
      </c>
      <c r="O23">
        <v>4879</v>
      </c>
      <c r="P23">
        <v>0</v>
      </c>
      <c r="Q23">
        <v>0</v>
      </c>
    </row>
    <row r="24" spans="1:17" x14ac:dyDescent="0.3">
      <c r="A24" t="s">
        <v>71</v>
      </c>
      <c r="B24" t="s">
        <v>18</v>
      </c>
      <c r="C24" t="s">
        <v>72</v>
      </c>
      <c r="D24">
        <v>5200</v>
      </c>
      <c r="E24" t="s">
        <v>73</v>
      </c>
      <c r="F24" t="s">
        <v>21</v>
      </c>
      <c r="G24">
        <v>42</v>
      </c>
      <c r="H24" t="s">
        <v>74</v>
      </c>
      <c r="I24" t="s">
        <v>32</v>
      </c>
      <c r="J24" t="s">
        <v>28</v>
      </c>
      <c r="K24" t="s">
        <v>75</v>
      </c>
      <c r="L24" t="s">
        <v>76</v>
      </c>
      <c r="M24" t="s">
        <v>18</v>
      </c>
      <c r="N24">
        <v>1.08</v>
      </c>
      <c r="O24">
        <v>5616</v>
      </c>
      <c r="P24">
        <v>0</v>
      </c>
      <c r="Q24">
        <v>0</v>
      </c>
    </row>
    <row r="25" spans="1:17" x14ac:dyDescent="0.3">
      <c r="A25" t="s">
        <v>77</v>
      </c>
      <c r="B25" t="s">
        <v>36</v>
      </c>
      <c r="C25" t="s">
        <v>78</v>
      </c>
      <c r="D25">
        <v>6100</v>
      </c>
      <c r="E25" t="s">
        <v>73</v>
      </c>
      <c r="F25" t="s">
        <v>46</v>
      </c>
      <c r="G25">
        <v>65</v>
      </c>
      <c r="H25" t="s">
        <v>76</v>
      </c>
      <c r="I25" t="s">
        <v>39</v>
      </c>
      <c r="J25" t="s">
        <v>28</v>
      </c>
      <c r="K25" t="s">
        <v>79</v>
      </c>
      <c r="L25" t="s">
        <v>76</v>
      </c>
      <c r="M25" t="s">
        <v>36</v>
      </c>
      <c r="N25">
        <v>1.0900000000000001</v>
      </c>
      <c r="O25">
        <v>6649.0000000000009</v>
      </c>
      <c r="P25">
        <v>1</v>
      </c>
      <c r="Q25">
        <v>1</v>
      </c>
    </row>
    <row r="26" spans="1:17" x14ac:dyDescent="0.3">
      <c r="A26" t="s">
        <v>80</v>
      </c>
      <c r="B26" t="s">
        <v>49</v>
      </c>
      <c r="C26" t="s">
        <v>72</v>
      </c>
      <c r="D26">
        <v>2800</v>
      </c>
      <c r="E26" t="s">
        <v>73</v>
      </c>
      <c r="F26" t="s">
        <v>21</v>
      </c>
      <c r="G26">
        <v>38</v>
      </c>
      <c r="H26" t="s">
        <v>76</v>
      </c>
      <c r="I26" t="s">
        <v>42</v>
      </c>
      <c r="J26" t="s">
        <v>43</v>
      </c>
      <c r="K26" t="s">
        <v>75</v>
      </c>
      <c r="L26" t="s">
        <v>76</v>
      </c>
      <c r="M26" t="s">
        <v>49</v>
      </c>
      <c r="N26">
        <v>1.08</v>
      </c>
      <c r="O26">
        <v>3024</v>
      </c>
      <c r="P26">
        <v>0</v>
      </c>
      <c r="Q26">
        <v>0</v>
      </c>
    </row>
    <row r="27" spans="1:17" x14ac:dyDescent="0.3">
      <c r="A27" t="s">
        <v>81</v>
      </c>
      <c r="B27" t="s">
        <v>63</v>
      </c>
      <c r="C27" t="s">
        <v>78</v>
      </c>
      <c r="D27">
        <v>3300</v>
      </c>
      <c r="E27" t="s">
        <v>73</v>
      </c>
      <c r="F27" t="s">
        <v>38</v>
      </c>
      <c r="G27">
        <v>44</v>
      </c>
      <c r="H27" t="s">
        <v>74</v>
      </c>
      <c r="I27" t="s">
        <v>47</v>
      </c>
      <c r="J27" t="s">
        <v>33</v>
      </c>
      <c r="K27" t="s">
        <v>79</v>
      </c>
      <c r="L27" t="s">
        <v>76</v>
      </c>
      <c r="M27" t="s">
        <v>63</v>
      </c>
      <c r="N27">
        <v>1.0900000000000001</v>
      </c>
      <c r="O27">
        <v>3597</v>
      </c>
      <c r="P27">
        <v>0</v>
      </c>
      <c r="Q27">
        <v>0</v>
      </c>
    </row>
    <row r="28" spans="1:17" x14ac:dyDescent="0.3">
      <c r="A28" t="s">
        <v>82</v>
      </c>
      <c r="B28" t="s">
        <v>18</v>
      </c>
      <c r="C28" t="s">
        <v>83</v>
      </c>
      <c r="D28">
        <v>7200</v>
      </c>
      <c r="E28" t="s">
        <v>84</v>
      </c>
      <c r="F28" t="s">
        <v>21</v>
      </c>
      <c r="G28">
        <v>49</v>
      </c>
      <c r="H28" t="s">
        <v>85</v>
      </c>
      <c r="I28" t="s">
        <v>50</v>
      </c>
      <c r="J28" t="s">
        <v>28</v>
      </c>
      <c r="K28" t="s">
        <v>86</v>
      </c>
      <c r="L28" t="s">
        <v>85</v>
      </c>
      <c r="M28" t="s">
        <v>18</v>
      </c>
      <c r="N28">
        <v>1</v>
      </c>
      <c r="O28">
        <v>7200</v>
      </c>
      <c r="P28">
        <v>1</v>
      </c>
      <c r="Q28">
        <v>0</v>
      </c>
    </row>
    <row r="29" spans="1:17" x14ac:dyDescent="0.3">
      <c r="A29" t="s">
        <v>87</v>
      </c>
      <c r="B29" t="s">
        <v>36</v>
      </c>
      <c r="C29" t="s">
        <v>83</v>
      </c>
      <c r="D29">
        <v>3100</v>
      </c>
      <c r="E29" t="s">
        <v>84</v>
      </c>
      <c r="F29" t="s">
        <v>21</v>
      </c>
      <c r="G29">
        <v>41</v>
      </c>
      <c r="H29" t="s">
        <v>85</v>
      </c>
      <c r="I29" t="s">
        <v>54</v>
      </c>
      <c r="J29" t="s">
        <v>28</v>
      </c>
      <c r="K29" t="s">
        <v>86</v>
      </c>
      <c r="L29" t="s">
        <v>85</v>
      </c>
      <c r="M29" t="s">
        <v>36</v>
      </c>
      <c r="N29">
        <v>1</v>
      </c>
      <c r="O29">
        <v>3100</v>
      </c>
      <c r="P29">
        <v>0</v>
      </c>
      <c r="Q29">
        <v>0</v>
      </c>
    </row>
    <row r="30" spans="1:17" x14ac:dyDescent="0.3">
      <c r="A30" t="s">
        <v>88</v>
      </c>
      <c r="B30" t="s">
        <v>56</v>
      </c>
      <c r="C30" t="s">
        <v>83</v>
      </c>
      <c r="D30">
        <v>2500</v>
      </c>
      <c r="E30" t="s">
        <v>84</v>
      </c>
      <c r="F30" t="s">
        <v>46</v>
      </c>
      <c r="G30">
        <v>58</v>
      </c>
      <c r="H30" t="s">
        <v>85</v>
      </c>
      <c r="I30" t="s">
        <v>57</v>
      </c>
      <c r="J30" t="s">
        <v>43</v>
      </c>
      <c r="K30" t="s">
        <v>86</v>
      </c>
      <c r="L30" t="s">
        <v>85</v>
      </c>
      <c r="M30" t="s">
        <v>56</v>
      </c>
      <c r="N30">
        <v>1</v>
      </c>
      <c r="O30">
        <v>2500</v>
      </c>
      <c r="P30">
        <v>0</v>
      </c>
      <c r="Q30">
        <v>1</v>
      </c>
    </row>
    <row r="31" spans="1:17" x14ac:dyDescent="0.3">
      <c r="A31" t="s">
        <v>89</v>
      </c>
      <c r="B31" t="s">
        <v>69</v>
      </c>
      <c r="C31" t="s">
        <v>83</v>
      </c>
      <c r="D31">
        <v>1800</v>
      </c>
      <c r="E31" t="s">
        <v>84</v>
      </c>
      <c r="F31" t="s">
        <v>38</v>
      </c>
      <c r="G31">
        <v>47</v>
      </c>
      <c r="H31" t="s">
        <v>85</v>
      </c>
      <c r="I31" t="s">
        <v>59</v>
      </c>
      <c r="J31" t="s">
        <v>24</v>
      </c>
      <c r="K31" t="s">
        <v>86</v>
      </c>
      <c r="L31" t="s">
        <v>85</v>
      </c>
      <c r="M31" t="s">
        <v>69</v>
      </c>
      <c r="N31">
        <v>1</v>
      </c>
      <c r="O31">
        <v>1800</v>
      </c>
      <c r="P31">
        <v>0</v>
      </c>
      <c r="Q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4" x14ac:dyDescent="0.3"/>
  <cols>
    <col min="1" max="1" width="14.77734375" customWidth="1"/>
  </cols>
  <sheetData>
    <row r="1" spans="1:4" x14ac:dyDescent="0.3">
      <c r="A1" t="s">
        <v>2</v>
      </c>
      <c r="B1" t="s">
        <v>90</v>
      </c>
      <c r="C1" t="s">
        <v>91</v>
      </c>
      <c r="D1" t="s">
        <v>92</v>
      </c>
    </row>
    <row r="2" spans="1:4" x14ac:dyDescent="0.3">
      <c r="A2" t="s">
        <v>45</v>
      </c>
      <c r="B2">
        <v>3</v>
      </c>
      <c r="C2">
        <v>1</v>
      </c>
      <c r="D2">
        <v>10827.5</v>
      </c>
    </row>
    <row r="3" spans="1:4" x14ac:dyDescent="0.3">
      <c r="A3" t="s">
        <v>19</v>
      </c>
      <c r="B3">
        <v>8</v>
      </c>
      <c r="C3">
        <v>1</v>
      </c>
      <c r="D3">
        <v>29984.5</v>
      </c>
    </row>
    <row r="4" spans="1:4" x14ac:dyDescent="0.3">
      <c r="A4" t="s">
        <v>37</v>
      </c>
      <c r="B4">
        <v>6</v>
      </c>
      <c r="C4">
        <v>2</v>
      </c>
      <c r="D4">
        <v>18580</v>
      </c>
    </row>
    <row r="5" spans="1:4" x14ac:dyDescent="0.3">
      <c r="A5" t="s">
        <v>30</v>
      </c>
      <c r="B5">
        <v>5</v>
      </c>
      <c r="C5">
        <v>3</v>
      </c>
      <c r="D5">
        <v>23202</v>
      </c>
    </row>
    <row r="6" spans="1:4" x14ac:dyDescent="0.3">
      <c r="A6" t="s">
        <v>72</v>
      </c>
      <c r="B6">
        <v>2</v>
      </c>
      <c r="C6">
        <v>0</v>
      </c>
      <c r="D6">
        <v>8640</v>
      </c>
    </row>
    <row r="7" spans="1:4" x14ac:dyDescent="0.3">
      <c r="A7" t="s">
        <v>83</v>
      </c>
      <c r="B7">
        <v>4</v>
      </c>
      <c r="C7">
        <v>1</v>
      </c>
      <c r="D7">
        <v>14600</v>
      </c>
    </row>
    <row r="8" spans="1:4" x14ac:dyDescent="0.3">
      <c r="A8" t="s">
        <v>78</v>
      </c>
      <c r="B8">
        <v>2</v>
      </c>
      <c r="C8">
        <v>1</v>
      </c>
      <c r="D8">
        <v>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5" sqref="B5"/>
    </sheetView>
  </sheetViews>
  <sheetFormatPr defaultRowHeight="14.4" x14ac:dyDescent="0.3"/>
  <cols>
    <col min="1" max="1" width="21.21875" customWidth="1"/>
  </cols>
  <sheetData>
    <row r="1" spans="1:2" x14ac:dyDescent="0.3">
      <c r="A1" t="s">
        <v>93</v>
      </c>
      <c r="B1" t="s">
        <v>94</v>
      </c>
    </row>
    <row r="2" spans="1:2" x14ac:dyDescent="0.3">
      <c r="A2" t="s">
        <v>95</v>
      </c>
      <c r="B2" t="str">
        <f>PROPER(TRIM(A2))</f>
        <v>Merchant Name Cleaning</v>
      </c>
    </row>
    <row r="3" spans="1:2" x14ac:dyDescent="0.3">
      <c r="A3" t="s">
        <v>96</v>
      </c>
      <c r="B3" t="str">
        <f>IF(ISNUMBER(SEARCH("chargeback",A2)),"CHARGEBACK",IF(ISNUMBER(SEARCH("captured",A2)),"CAPTURED","FAILED"))</f>
        <v>FAILED</v>
      </c>
    </row>
    <row r="4" spans="1:2" x14ac:dyDescent="0.3">
      <c r="A4" t="s">
        <v>97</v>
      </c>
      <c r="B4" t="e">
        <f ca="1">VALUE(_xludf.REGEXEXTRACT(A2,"\d+"))</f>
        <v>#NAME?</v>
      </c>
    </row>
    <row r="5" spans="1:2" x14ac:dyDescent="0.3">
      <c r="A5" t="s">
        <v>98</v>
      </c>
      <c r="B5" t="e">
        <f>amount * VLOOKUP(currency, exchange_rates, 2, FALSE)</f>
        <v>#NAME?</v>
      </c>
    </row>
    <row r="6" spans="1:2" x14ac:dyDescent="0.3">
      <c r="A6" t="s">
        <v>99</v>
      </c>
      <c r="B6" t="e">
        <f>IF(AND(region="APAC",amount_usd&gt;5000),1,IF(AND(region="EU",amount_usd&gt;6000),1,IF(AND(region="US",amount_usd&gt;7000),1,0)))</f>
        <v>#NAME?</v>
      </c>
    </row>
    <row r="7" spans="1:2" x14ac:dyDescent="0.3">
      <c r="A7" t="s">
        <v>100</v>
      </c>
      <c r="B7" t="e">
        <f>IF(OR(risk_score&gt;=70,status="CHARGEBACK"),1,0)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Cleaned_Transactions</vt:lpstr>
      <vt:lpstr>Merchant_Risk_Summary</vt:lpstr>
      <vt:lpstr>Formula_Samples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20.22 FN B  - 59 - Snehesh Kasturwar</cp:lastModifiedBy>
  <dcterms:created xsi:type="dcterms:W3CDTF">2026-05-04T08:26:24Z</dcterms:created>
  <dcterms:modified xsi:type="dcterms:W3CDTF">2026-05-05T18:41:38Z</dcterms:modified>
</cp:coreProperties>
</file>